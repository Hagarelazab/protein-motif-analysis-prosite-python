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if Count Data" sheetId="1" state="visible" r:id="rId1"/>
    <sheet xmlns:r="http://schemas.openxmlformats.org/officeDocument/2006/relationships" name="Summary by Prote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Courier New"/>
      <b val="1"/>
      <color rgb="001A5276"/>
      <sz val="10"/>
    </font>
    <font>
      <name val="Arial"/>
      <b val="1"/>
      <color rgb="001B6B5A"/>
      <sz val="10"/>
    </font>
    <font>
      <name val="Arial"/>
      <color rgb="001C2833"/>
      <sz val="10"/>
    </font>
    <font>
      <name val="Courier New"/>
      <color rgb="001C2833"/>
      <sz val="10"/>
    </font>
    <font>
      <name val="Arial"/>
      <b val="1"/>
      <color rgb="001C2833"/>
      <sz val="10"/>
    </font>
    <font>
      <name val="Arial"/>
      <b val="1"/>
      <color rgb="00FFFFFF"/>
      <sz val="12"/>
    </font>
    <font>
      <name val="Arial"/>
      <b val="1"/>
      <color rgb="00FFFFFF"/>
      <sz val="14"/>
    </font>
    <font>
      <name val="Arial"/>
      <b val="1"/>
      <color rgb="001C2833"/>
      <sz val="11"/>
    </font>
    <font>
      <name val="Arial"/>
      <b val="1"/>
      <color rgb="001B6B5A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B6B5A"/>
      </patternFill>
    </fill>
    <fill>
      <patternFill patternType="solid">
        <fgColor rgb="002D9E7E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2F4F4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Motif Hit Counts by Protein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by Protein'!B3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Protein'!$A$4:$A$5</f>
            </numRef>
          </cat>
          <val>
            <numRef>
              <f>'Summary by Protein'!$B$4:$B$5</f>
            </numRef>
          </val>
        </ser>
        <ser>
          <idx val="1"/>
          <order val="1"/>
          <tx>
            <strRef>
              <f>'Summary by Protein'!C3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Protein'!$A$4:$A$5</f>
            </numRef>
          </cat>
          <val>
            <numRef>
              <f>'Summary by Protein'!$C$4:$C$5</f>
            </numRef>
          </val>
        </ser>
        <ser>
          <idx val="2"/>
          <order val="2"/>
          <tx>
            <strRef>
              <f>'Summary by Protein'!D3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 by Protein'!$A$4:$A$5</f>
            </numRef>
          </cat>
          <val>
            <numRef>
              <f>'Summary by Protein'!$D$4:$D$5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Protein Accession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Hits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6" customWidth="1" min="3" max="3"/>
    <col width="18" customWidth="1" min="4" max="4"/>
    <col width="10" customWidth="1" min="5" max="5"/>
    <col width="12" customWidth="1" min="6" max="6"/>
  </cols>
  <sheetData>
    <row r="1" ht="36" customHeight="1">
      <c r="A1" s="1" t="inlineStr">
        <is>
          <t>Comparative Protein Motif Analysis</t>
        </is>
      </c>
    </row>
    <row r="2" ht="22" customHeight="1">
      <c r="A2" s="2" t="inlineStr">
        <is>
          <t>Python Regex Motif Detection Results</t>
        </is>
      </c>
    </row>
    <row r="3" ht="8" customHeight="1"/>
    <row r="4" ht="28" customHeight="1">
      <c r="A4" s="3" t="inlineStr">
        <is>
          <t>Protein</t>
        </is>
      </c>
      <c r="B4" s="3" t="inlineStr">
        <is>
          <t>Motif Name</t>
        </is>
      </c>
      <c r="C4" s="3" t="inlineStr">
        <is>
          <t>Description</t>
        </is>
      </c>
      <c r="D4" s="3" t="inlineStr">
        <is>
          <t>PROSITE Accession</t>
        </is>
      </c>
      <c r="E4" s="3" t="inlineStr">
        <is>
          <t>Count</t>
        </is>
      </c>
      <c r="F4" s="3" t="inlineStr">
        <is>
          <t>% of Total</t>
        </is>
      </c>
    </row>
    <row r="5" ht="22" customHeight="1">
      <c r="A5" s="4" t="inlineStr">
        <is>
          <t>NP_000475.1</t>
        </is>
      </c>
      <c r="B5" s="5" t="inlineStr">
        <is>
          <t>ASN_GLYCOSYLATION</t>
        </is>
      </c>
      <c r="C5" s="6" t="inlineStr">
        <is>
          <t>N-glycosylation site</t>
        </is>
      </c>
      <c r="D5" s="7" t="inlineStr">
        <is>
          <t>PS00001</t>
        </is>
      </c>
      <c r="E5" s="8" t="n">
        <v>2</v>
      </c>
      <c r="F5" s="9">
        <f>E5/SUM($E$5:$E$10)</f>
        <v/>
      </c>
    </row>
    <row r="6" ht="22" customHeight="1">
      <c r="A6" s="10" t="inlineStr">
        <is>
          <t>NP_000475.1</t>
        </is>
      </c>
      <c r="B6" s="11" t="inlineStr">
        <is>
          <t>CK2_PHOSPHO_SITE</t>
        </is>
      </c>
      <c r="C6" s="12" t="inlineStr">
        <is>
          <t>Casein kinase II phosphorylation site</t>
        </is>
      </c>
      <c r="D6" s="13" t="inlineStr">
        <is>
          <t>PS00006</t>
        </is>
      </c>
      <c r="E6" s="14" t="n">
        <v>13</v>
      </c>
      <c r="F6" s="15">
        <f>E6/SUM($E$5:$E$10)</f>
        <v/>
      </c>
    </row>
    <row r="7" ht="22" customHeight="1">
      <c r="A7" s="4" t="inlineStr">
        <is>
          <t>NP_000475.1</t>
        </is>
      </c>
      <c r="B7" s="5" t="inlineStr">
        <is>
          <t>PKC_PHOSPHO_SITE</t>
        </is>
      </c>
      <c r="C7" s="6" t="inlineStr">
        <is>
          <t>Protein kinase C phosphorylation site</t>
        </is>
      </c>
      <c r="D7" s="7" t="inlineStr">
        <is>
          <t>PS00005</t>
        </is>
      </c>
      <c r="E7" s="8" t="n">
        <v>7</v>
      </c>
      <c r="F7" s="9">
        <f>E7/SUM($E$5:$E$10)</f>
        <v/>
      </c>
    </row>
    <row r="8" ht="22" customHeight="1">
      <c r="A8" s="10" t="inlineStr">
        <is>
          <t>NP_001129488.1</t>
        </is>
      </c>
      <c r="B8" s="11" t="inlineStr">
        <is>
          <t>ASN_GLYCOSYLATION</t>
        </is>
      </c>
      <c r="C8" s="12" t="inlineStr">
        <is>
          <t>N-glycosylation site</t>
        </is>
      </c>
      <c r="D8" s="13" t="inlineStr">
        <is>
          <t>PS00001</t>
        </is>
      </c>
      <c r="E8" s="14" t="n">
        <v>2</v>
      </c>
      <c r="F8" s="15">
        <f>E8/SUM($E$5:$E$10)</f>
        <v/>
      </c>
    </row>
    <row r="9" ht="22" customHeight="1">
      <c r="A9" s="4" t="inlineStr">
        <is>
          <t>NP_001129488.1</t>
        </is>
      </c>
      <c r="B9" s="5" t="inlineStr">
        <is>
          <t>CK2_PHOSPHO_SITE</t>
        </is>
      </c>
      <c r="C9" s="6" t="inlineStr">
        <is>
          <t>Casein kinase II phosphorylation site</t>
        </is>
      </c>
      <c r="D9" s="7" t="inlineStr">
        <is>
          <t>PS00006</t>
        </is>
      </c>
      <c r="E9" s="8" t="n">
        <v>12</v>
      </c>
      <c r="F9" s="9">
        <f>E9/SUM($E$5:$E$10)</f>
        <v/>
      </c>
    </row>
    <row r="10" ht="22" customHeight="1">
      <c r="A10" s="10" t="inlineStr">
        <is>
          <t>NP_001129488.1</t>
        </is>
      </c>
      <c r="B10" s="11" t="inlineStr">
        <is>
          <t>PKC_PHOSPHO_SITE</t>
        </is>
      </c>
      <c r="C10" s="12" t="inlineStr">
        <is>
          <t>Protein kinase C phosphorylation site</t>
        </is>
      </c>
      <c r="D10" s="13" t="inlineStr">
        <is>
          <t>PS00005</t>
        </is>
      </c>
      <c r="E10" s="14" t="n">
        <v>6</v>
      </c>
      <c r="F10" s="15">
        <f>E10/SUM($E$5:$E$10)</f>
        <v/>
      </c>
    </row>
    <row r="11" ht="26" customHeight="1">
      <c r="A11" s="16" t="inlineStr">
        <is>
          <t>TOTAL HITS</t>
        </is>
      </c>
      <c r="B11" s="17" t="n"/>
      <c r="C11" s="17" t="n"/>
      <c r="D11" s="17" t="n"/>
      <c r="E11" s="18">
        <f>SUM(E5:E10)</f>
        <v/>
      </c>
      <c r="F11" s="19">
        <f>SUM(F5:F10)</f>
        <v/>
      </c>
    </row>
  </sheetData>
  <mergeCells count="3">
    <mergeCell ref="A2:F2"/>
    <mergeCell ref="A1:F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 ht="32" customHeight="1">
      <c r="A1" s="20" t="inlineStr">
        <is>
          <t>Motif Hits per Protein — Summary</t>
        </is>
      </c>
    </row>
    <row r="2" ht="8" customHeight="1"/>
    <row r="3" ht="26" customHeight="1">
      <c r="A3" s="21" t="inlineStr">
        <is>
          <t>Protein</t>
        </is>
      </c>
      <c r="B3" s="21" t="inlineStr">
        <is>
          <t>ASN_GLYCOSYLATION</t>
        </is>
      </c>
      <c r="C3" s="21" t="inlineStr">
        <is>
          <t>CK2_PHOSPHO_SITE</t>
        </is>
      </c>
      <c r="D3" s="21" t="inlineStr">
        <is>
          <t>PKC_PHOSPHO_SITE</t>
        </is>
      </c>
      <c r="E3" s="21" t="inlineStr">
        <is>
          <t>Total</t>
        </is>
      </c>
    </row>
    <row r="4" ht="22" customHeight="1">
      <c r="A4" s="4" t="inlineStr">
        <is>
          <t>NP_000475.1</t>
        </is>
      </c>
      <c r="B4" s="22" t="n">
        <v>2</v>
      </c>
      <c r="C4" s="22" t="n">
        <v>13</v>
      </c>
      <c r="D4" s="22" t="n">
        <v>7</v>
      </c>
      <c r="E4" s="23">
        <f>SUM(B4:D4)</f>
        <v/>
      </c>
    </row>
    <row r="5" ht="22" customHeight="1">
      <c r="A5" s="10" t="inlineStr">
        <is>
          <t>NP_001129488.1</t>
        </is>
      </c>
      <c r="B5" s="24" t="n">
        <v>2</v>
      </c>
      <c r="C5" s="24" t="n">
        <v>12</v>
      </c>
      <c r="D5" s="24" t="n">
        <v>6</v>
      </c>
      <c r="E5" s="25">
        <f>SUM(B5:D5)</f>
        <v/>
      </c>
    </row>
    <row r="6" ht="26" customHeight="1">
      <c r="A6" s="16" t="inlineStr">
        <is>
          <t>TOTAL</t>
        </is>
      </c>
      <c r="B6" s="26">
        <f>SUM(B4:B5)</f>
        <v/>
      </c>
      <c r="C6" s="26">
        <f>SUM(C4:C5)</f>
        <v/>
      </c>
      <c r="D6" s="26">
        <f>SUM(D4:D5)</f>
        <v/>
      </c>
      <c r="E6" s="26">
        <f>SUM(E4:E5)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2026-05-06T16:31:46Z</dcterms:created>
  <dcterms:modified xmlns:dcterms="http://purl.org/dc/terms/" xmlns:xsi="http://www.w3.org/2001/XMLSchema-instance" xsi:type="dcterms:W3CDTF">2026-05-06T16:31:46Z</dcterms:modified>
</cp:coreProperties>
</file>